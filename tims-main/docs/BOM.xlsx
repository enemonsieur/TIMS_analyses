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asrk\tims\docs\"/>
    </mc:Choice>
  </mc:AlternateContent>
  <xr:revisionPtr revIDLastSave="0" documentId="13_ncr:1_{8B89DF67-0040-4A6C-A708-6673C42E226A}" xr6:coauthVersionLast="47" xr6:coauthVersionMax="47" xr10:uidLastSave="{00000000-0000-0000-0000-000000000000}"/>
  <bookViews>
    <workbookView xWindow="3495" yWindow="3495" windowWidth="28800" windowHeight="15345" xr2:uid="{DAFD0730-6D7C-4A71-9A97-2A2B9A0F5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D90" i="1"/>
  <c r="D16" i="1"/>
  <c r="D89" i="1"/>
  <c r="D88" i="1"/>
  <c r="D59" i="1"/>
  <c r="D58" i="1"/>
  <c r="D57" i="1"/>
  <c r="D54" i="1"/>
  <c r="D55" i="1"/>
  <c r="D56" i="1"/>
  <c r="D45" i="1"/>
  <c r="D49" i="1"/>
  <c r="D47" i="1"/>
  <c r="D48" i="1"/>
  <c r="D46" i="1"/>
  <c r="D95" i="1"/>
  <c r="D78" i="1"/>
  <c r="D40" i="1"/>
  <c r="D41" i="1"/>
  <c r="D39" i="1"/>
  <c r="D25" i="1"/>
  <c r="D24" i="1"/>
  <c r="D23" i="1"/>
  <c r="D22" i="1"/>
  <c r="D21" i="1"/>
  <c r="D20" i="1"/>
  <c r="D19" i="1"/>
  <c r="D18" i="1"/>
  <c r="D17" i="1"/>
  <c r="D38" i="1"/>
  <c r="D15" i="1"/>
  <c r="D14" i="1"/>
  <c r="D13" i="1"/>
  <c r="D12" i="1"/>
  <c r="D11" i="1"/>
  <c r="D37" i="1"/>
  <c r="D75" i="1"/>
  <c r="D76" i="1"/>
  <c r="D77" i="1"/>
  <c r="D72" i="1"/>
  <c r="D73" i="1"/>
  <c r="D74" i="1"/>
  <c r="D71" i="1"/>
  <c r="D44" i="1"/>
  <c r="D6" i="1"/>
  <c r="D7" i="1"/>
  <c r="D8" i="1"/>
  <c r="D9" i="1"/>
  <c r="D10" i="1"/>
  <c r="D82" i="1"/>
  <c r="D70" i="1"/>
  <c r="D81" i="1"/>
  <c r="D93" i="1"/>
  <c r="D94" i="1"/>
  <c r="D53" i="1"/>
  <c r="D52" i="1"/>
  <c r="D85" i="1"/>
  <c r="D86" i="1"/>
  <c r="D87" i="1"/>
  <c r="D29" i="1"/>
  <c r="D30" i="1"/>
  <c r="D31" i="1"/>
  <c r="D32" i="1"/>
  <c r="D33" i="1"/>
  <c r="D34" i="1"/>
  <c r="D35" i="1"/>
  <c r="D36" i="1"/>
  <c r="D63" i="1"/>
  <c r="D64" i="1"/>
  <c r="D65" i="1"/>
  <c r="D66" i="1"/>
  <c r="D67" i="1"/>
  <c r="D68" i="1"/>
  <c r="D69" i="1"/>
  <c r="D3" i="1"/>
  <c r="K94" i="1" l="1"/>
</calcChain>
</file>

<file path=xl/sharedStrings.xml><?xml version="1.0" encoding="utf-8"?>
<sst xmlns="http://schemas.openxmlformats.org/spreadsheetml/2006/main" count="168" uniqueCount="89">
  <si>
    <t>Haeberle swingo clinic Basiswagen 60</t>
  </si>
  <si>
    <t>Wärmeleitpaste Thermal Grizzly</t>
  </si>
  <si>
    <t>KONTAKT GOLD 2000 82509-AA Schmierstoff</t>
  </si>
  <si>
    <t>Standardservo13 Kg Digital</t>
  </si>
  <si>
    <t>Raspberry Pi 5 B, 4x 2,4 GHz, 16 GB RAM</t>
  </si>
  <si>
    <t>Raspberry Pi - Touch-Display LCD, 10,1"</t>
  </si>
  <si>
    <t>SDXC-Speicherkarte, 128 GB</t>
  </si>
  <si>
    <t>Raspberry Pi - Lüfter für Raspberry Pi 5</t>
  </si>
  <si>
    <t>MOSFET IPT067N20NM6ATMA1</t>
  </si>
  <si>
    <t>MOSFET Treiber 2EDL23N06PJXUMA1</t>
  </si>
  <si>
    <t>Radiator GTX 480</t>
  </si>
  <si>
    <t>Schlauch AlphaTube HF 16/10mm</t>
  </si>
  <si>
    <t>Anschraubtülle 16/10mm</t>
  </si>
  <si>
    <t>Alphacool ES VE-Wasser 5000mL</t>
  </si>
  <si>
    <t>Durchfluss- und Temperatursensor</t>
  </si>
  <si>
    <t>Temperatursensor G1/4 IG/IG</t>
  </si>
  <si>
    <t>Distro Plate Parallel C5</t>
  </si>
  <si>
    <t>Artikel</t>
  </si>
  <si>
    <t>Menge</t>
  </si>
  <si>
    <t>Link</t>
  </si>
  <si>
    <t>Bruttowert</t>
  </si>
  <si>
    <t>Gesamtbruttowert</t>
  </si>
  <si>
    <t>O-Ringe Dichtung Gummi 68x63x2.5mm</t>
  </si>
  <si>
    <t>Cart</t>
  </si>
  <si>
    <t>Power supply</t>
  </si>
  <si>
    <t>Capacitor banks</t>
  </si>
  <si>
    <t>Coil drivers</t>
  </si>
  <si>
    <t>Control unit</t>
  </si>
  <si>
    <t>Water cooling</t>
  </si>
  <si>
    <t>Coils</t>
  </si>
  <si>
    <t>G1/4-8mm Schlauchanschluss</t>
  </si>
  <si>
    <t>G1/8-8mm Schlauchanschluss PVC</t>
  </si>
  <si>
    <t>Stecker, Buchse XT150</t>
  </si>
  <si>
    <t>Common</t>
  </si>
  <si>
    <t>Current sensors</t>
  </si>
  <si>
    <t>CSNT651</t>
  </si>
  <si>
    <t>Netzteil 90V LCM30007-T 3000W</t>
  </si>
  <si>
    <t xml:space="preserve">DC-DC 100-24V 240W DCM3623TA5N26B4T00 </t>
  </si>
  <si>
    <t>DC-DC 24-5V 40W TEN 40-2411WI</t>
  </si>
  <si>
    <t xml:space="preserve">DC-DC 24-+/-12V 10W THD 10-2422N </t>
  </si>
  <si>
    <t>Lüfter 24V 120mm</t>
  </si>
  <si>
    <t>PLCD24004BSPT - CPC Stecker 1/4" BSPT</t>
  </si>
  <si>
    <t>PLCD17005 - CPC Kupplung 7,9 mm Schlauchanschluss</t>
  </si>
  <si>
    <t>PLCD22005 - CPC Stecker 7,9 mm Schlauchanschluss</t>
  </si>
  <si>
    <t>Kondensator 4,7u 50V 12065C475K4T4A</t>
  </si>
  <si>
    <t>Kondensator 22u 35V GMC31X5R226M35NT</t>
  </si>
  <si>
    <t>Kondensator 100u 800V 944U101K801AAM</t>
  </si>
  <si>
    <t>Widerstand BVT-V-R002-1.0 2m 5W</t>
  </si>
  <si>
    <t>Spule 110u CPEX3635L-111MC</t>
  </si>
  <si>
    <t>Gesamtwert</t>
  </si>
  <si>
    <t>Pumpe WCP D5-PWM</t>
  </si>
  <si>
    <t>Pumpengehäuse HEATKILLER D5-TOP</t>
  </si>
  <si>
    <t>Ausgleichsbehälter  HEATKILLER Tube 200</t>
  </si>
  <si>
    <t>Kondensator 10u 100V GRM32EC72A106KE05L</t>
  </si>
  <si>
    <t>Spule 330nH 744309033</t>
  </si>
  <si>
    <t>Widerstand 1Ohm 0,25W RK73B2BTTE1R0J</t>
  </si>
  <si>
    <t>Kondensator 1000u 200V B43541B2108M000</t>
  </si>
  <si>
    <t>Widerstand 10 W 2,2 Ohm SQMBW102R2J</t>
  </si>
  <si>
    <t>Widerstand 0,25Ohm 1W WSL2512R2500FEA</t>
  </si>
  <si>
    <t>CM-Choke 450uH TCK-048</t>
  </si>
  <si>
    <t>Kondensator 1000p 2kV VPDD202W102K1GV001E</t>
  </si>
  <si>
    <t>Kondensator 1000u 35V B41888C7108M000</t>
  </si>
  <si>
    <t>DC-DC 24-12V 40W TEN 40-2412WI</t>
  </si>
  <si>
    <t>Kondensator 1500p 2kV C1206C152KGRACAUTO</t>
  </si>
  <si>
    <t>Kondensator 2700u 50V EKY-500ELL272MM40S</t>
  </si>
  <si>
    <t>Kondensator 150u 35V  860240575007</t>
  </si>
  <si>
    <t>Terminal Block 2POS 5mm 1935161</t>
  </si>
  <si>
    <t>Terminal Block 3POS 5mm 1935174</t>
  </si>
  <si>
    <t>Terminal Block 5POS 5mm 1935190</t>
  </si>
  <si>
    <t>Widerstand 5,1 Ohm 0,25W M251206BB5108JP500</t>
  </si>
  <si>
    <t>JST PH 8Pin Buchse B8B-PH-K-S</t>
  </si>
  <si>
    <t>JST PH 2Pin Buchse B2B-PH-K</t>
  </si>
  <si>
    <t>Molex 0470531000</t>
  </si>
  <si>
    <t>JST PH 4Pin Buchse B4B-PH-K</t>
  </si>
  <si>
    <t>Widerstand 22Ohm 1/4W RK73H2BTTD22R0F</t>
  </si>
  <si>
    <t>Kondensator 0,68u 50V C1206C684K5RACTU</t>
  </si>
  <si>
    <t>Widerstand 10k 1/4W RC1206FR-0710KL</t>
  </si>
  <si>
    <t>MCP6021-I/SN OpAmp</t>
  </si>
  <si>
    <t>JST PH 5Pin Buchse B5B-PH-K-S</t>
  </si>
  <si>
    <t>MKP10 PP-Puls-Kondensator, 100 nF, 10 %, 2000 VDC</t>
  </si>
  <si>
    <t>MKP10 PP-Puls-Kondensator, 150 nF, 10 %, 2000 VDC</t>
  </si>
  <si>
    <t>MKP10 PP-Puls-Kondensator, 220 nF, 10 %, 2000 VDC</t>
  </si>
  <si>
    <t>MKP10 PP-Puls-Kondensator, 330 nF, 10 %, 2000 VDC</t>
  </si>
  <si>
    <t>JST PH 6Pin Buchse B6B-PH-K-S</t>
  </si>
  <si>
    <t>MOSFET IRLZ44NPBF</t>
  </si>
  <si>
    <t>FPGA Board CMOD A7-35T</t>
  </si>
  <si>
    <t>ADC MAX11105</t>
  </si>
  <si>
    <t>Connector 24Pin 2.54mm Female PPTC241LFBN-RC</t>
  </si>
  <si>
    <t>Connector 20Pin 2.54mm Female PPTC201LFBN-RC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</si>
</sst>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 vertical="top"/>
    </xf>
    <xf numFmtId="0" fontId="2" fillId="0" borderId="0" xfId="1" applyNumberFormat="1" applyAlignment="1">
      <alignment horizontal="left"/>
    </xf>
    <xf numFmtId="0" fontId="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de/dp/B07Q3173NC?ref=ppx_yo2ov_dt_b_fed_asin_title&amp;th=1" TargetMode="External"/><Relationship Id="rId21" Type="http://schemas.openxmlformats.org/officeDocument/2006/relationships/hyperlink" Target="https://www.aquatuning.com/wasserkuehlung/custom-wasserkuehlung/ueberwachung/durchflusssensor/sen-alphacool-es-durchfluss-und-temperatursensor-highflow-mit-tachosignal" TargetMode="External"/><Relationship Id="rId42" Type="http://schemas.openxmlformats.org/officeDocument/2006/relationships/hyperlink" Target="https://www.digikey.de/en/products/detail/chemi-con/EKY-500ELL272MM40S/756140" TargetMode="External"/><Relationship Id="rId47" Type="http://schemas.openxmlformats.org/officeDocument/2006/relationships/hyperlink" Target="https://www.digikey.de/en/products/detail/traco-power/TCK-048/9382111?" TargetMode="External"/><Relationship Id="rId63" Type="http://schemas.openxmlformats.org/officeDocument/2006/relationships/hyperlink" Target="https://www.digikey.de/en/products/detail/analog-devices-inc-maxim-integrated/MAX11105AUT-T/10459540" TargetMode="External"/><Relationship Id="rId68" Type="http://schemas.openxmlformats.org/officeDocument/2006/relationships/hyperlink" Target="https://www.digikey.de/en/products/detail/kemet/C1206C684K5RACTU/754762" TargetMode="External"/><Relationship Id="rId2" Type="http://schemas.openxmlformats.org/officeDocument/2006/relationships/hyperlink" Target="https://www.conrad.de/de/p/reely-1373206-akku-stecker-akku-buchse-xt150-vergoldet-1-st-1373206.html?refresh=true" TargetMode="External"/><Relationship Id="rId16" Type="http://schemas.openxmlformats.org/officeDocument/2006/relationships/hyperlink" Target="https://www.digikey.de/en/products/detail/codaca/CPEX3635L-111MC/17767112" TargetMode="External"/><Relationship Id="rId29" Type="http://schemas.openxmlformats.org/officeDocument/2006/relationships/hyperlink" Target="https://www.mouser.de/ProductDetail/492-DCM3623TA526B4T0" TargetMode="External"/><Relationship Id="rId11" Type="http://schemas.openxmlformats.org/officeDocument/2006/relationships/hyperlink" Target="https://www.digikey.de/en/products/detail/infineon-technologies/2EDL23N06PJXUMA1/4571869?" TargetMode="External"/><Relationship Id="rId24" Type="http://schemas.openxmlformats.org/officeDocument/2006/relationships/hyperlink" Target="https://www.amazon.de/dp/B00858TU8W?ref=ppx_yo2ov_dt_b_fed_asin_title" TargetMode="External"/><Relationship Id="rId32" Type="http://schemas.openxmlformats.org/officeDocument/2006/relationships/hyperlink" Target="https://www.schellen-shop.de/Schlauchverbindung/CPC-Kupplungen-Colder-Products/PLC-Serie/plcd24004bspt-cpc-stecker-1-4-bspt-aussengewinde-mit-absperrventil-buna-n-dichtung-number=2000000288941" TargetMode="External"/><Relationship Id="rId37" Type="http://schemas.openxmlformats.org/officeDocument/2006/relationships/hyperlink" Target="https://shop.watercool.de/HEATKILLER-Tube-200" TargetMode="External"/><Relationship Id="rId40" Type="http://schemas.openxmlformats.org/officeDocument/2006/relationships/hyperlink" Target="https://www.digikey.de/en/products/detail/w%C3%BCrth-elektronik/744309033/2625945" TargetMode="External"/><Relationship Id="rId45" Type="http://schemas.openxmlformats.org/officeDocument/2006/relationships/hyperlink" Target="https://www.mouser.de/ProductDetail/TRACO-Power/THD-10-2422N?qs=MJt07Qdd3dJZqvby6hry%252Bw%3D%3D" TargetMode="External"/><Relationship Id="rId53" Type="http://schemas.openxmlformats.org/officeDocument/2006/relationships/hyperlink" Target="https://www.digikey.de/en/products/detail/phoenix-contact/1935161/568614" TargetMode="External"/><Relationship Id="rId58" Type="http://schemas.openxmlformats.org/officeDocument/2006/relationships/hyperlink" Target="https://www.digikey.de/en/products/detail/molex/0470531000/2421261?" TargetMode="External"/><Relationship Id="rId66" Type="http://schemas.openxmlformats.org/officeDocument/2006/relationships/hyperlink" Target="https://www.digikey.de/en/products/detail/koa-speer-electronics-inc/RK73H2BTTD22R0F/10236130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www.conrad.de/de/p/kontakt-chemie-kontakt-gold-2000-82509-aa-hochleistungs-schmierstoff-200-ml-813982.html" TargetMode="External"/><Relationship Id="rId61" Type="http://schemas.openxmlformats.org/officeDocument/2006/relationships/hyperlink" Target="https://www.digikey.de/en/products/detail/jst-sales-america-inc/B5B-PH-K-S/926614" TargetMode="External"/><Relationship Id="rId19" Type="http://schemas.openxmlformats.org/officeDocument/2006/relationships/hyperlink" Target="https://www.aquatuning.com/wasserkuehlung/custom-wasserkuehlung/anschluesse/anschraubtuellen/ans-alphacool-eiszapfen-16/10mm-anschraubtuelle-g1/4-chrome" TargetMode="External"/><Relationship Id="rId14" Type="http://schemas.openxmlformats.org/officeDocument/2006/relationships/hyperlink" Target="https://www.digikey.de/en/products/detail/cornell-dubilier-knowles/944U101K801AAM/2117803" TargetMode="External"/><Relationship Id="rId22" Type="http://schemas.openxmlformats.org/officeDocument/2006/relationships/hyperlink" Target="https://www.aquatuning.com/wasserkuehlung/custom-wasserkuehlung/ueberwachung/thermosensor/sen-alphacool-eiszapfen-temperatursensor-g1/4-ig/ig-mit-ag-adapter-deep-black" TargetMode="External"/><Relationship Id="rId27" Type="http://schemas.openxmlformats.org/officeDocument/2006/relationships/hyperlink" Target="https://www.mouser.de/ProductDetail/Honeywell/CSNT651?qs=NdpYyUm6Jo7g2wxYDGPEtA%3D%3D" TargetMode="External"/><Relationship Id="rId30" Type="http://schemas.openxmlformats.org/officeDocument/2006/relationships/hyperlink" Target="https://www.mouser.de/ProductDetail/495-TEN-40-2411WI" TargetMode="External"/><Relationship Id="rId35" Type="http://schemas.openxmlformats.org/officeDocument/2006/relationships/hyperlink" Target="https://shop.watercool.de/WCP-D5-PWM" TargetMode="External"/><Relationship Id="rId43" Type="http://schemas.openxmlformats.org/officeDocument/2006/relationships/hyperlink" Target="https://www.digikey.de/en/products/detail/koa-speer-electronics-inc/RK73B2BTTE1R0J/11476554" TargetMode="External"/><Relationship Id="rId48" Type="http://schemas.openxmlformats.org/officeDocument/2006/relationships/hyperlink" Target="https://www.digikey.de/en/products/detail/johanson-dielectrics-inc/VPDD202W102K1GV001E/1556359" TargetMode="External"/><Relationship Id="rId56" Type="http://schemas.openxmlformats.org/officeDocument/2006/relationships/hyperlink" Target="https://www.digikey.de/en/products/detail/vishay-beyschlag-draloric-bc-components/M251206BB5108JP500/3455995" TargetMode="External"/><Relationship Id="rId64" Type="http://schemas.openxmlformats.org/officeDocument/2006/relationships/hyperlink" Target="https://www.digikey.de/en/products/detail/epcos-tdk-electronics/B43541B2108M000/6160840" TargetMode="External"/><Relationship Id="rId69" Type="http://schemas.openxmlformats.org/officeDocument/2006/relationships/hyperlink" Target="https://www.digikey.de/en/products/detail/microchip-technology/MCP6021-I-SN/417826" TargetMode="External"/><Relationship Id="rId8" Type="http://schemas.openxmlformats.org/officeDocument/2006/relationships/hyperlink" Target="https://www.reichelt.de/de/de/shop/produkt/raspberry_pi_-_touch-display_lcd_10_1_1920x1200_hdmi-354196" TargetMode="External"/><Relationship Id="rId51" Type="http://schemas.openxmlformats.org/officeDocument/2006/relationships/hyperlink" Target="https://www.digikey.de/en/products/detail/w%C3%BCrth-elektronik/860240575007/5727552?" TargetMode="External"/><Relationship Id="rId72" Type="http://schemas.openxmlformats.org/officeDocument/2006/relationships/hyperlink" Target="https://www.digikey.de/en/products/detail/digilent-inc/410-328-35/6133793" TargetMode="External"/><Relationship Id="rId3" Type="http://schemas.openxmlformats.org/officeDocument/2006/relationships/hyperlink" Target="https://www.thermal-grizzly.com/kryonaut/s-tg-k-001-rs" TargetMode="External"/><Relationship Id="rId12" Type="http://schemas.openxmlformats.org/officeDocument/2006/relationships/hyperlink" Target="https://www.digikey.de/en/products/detail/kyocera-avx/12065C475K4T4A/11243555?" TargetMode="External"/><Relationship Id="rId17" Type="http://schemas.openxmlformats.org/officeDocument/2006/relationships/hyperlink" Target="https://www.aquatuning.com/wasserkuehlung/custom-wasserkuehlung/radiatoren/alle-radiatoren/rad-black-ice-nemesis-radiator-gtx-480-black" TargetMode="External"/><Relationship Id="rId25" Type="http://schemas.openxmlformats.org/officeDocument/2006/relationships/hyperlink" Target="https://www.amazon.de/dp/B07F8SQGZ7?ref=ppx_yo2ov_dt_b_fed_asin_title&amp;th=1" TargetMode="External"/><Relationship Id="rId33" Type="http://schemas.openxmlformats.org/officeDocument/2006/relationships/hyperlink" Target="https://www.schellen-shop.de/Schlauchverbindung/CPC-Kupplungen-Colder-Products/PLC-Serie/plcd17005-cpc-kupplung-7-9-mm-schlauchanschluss-mit-absperrventil-buna-n-dichtung-number=2000000288914" TargetMode="External"/><Relationship Id="rId38" Type="http://schemas.openxmlformats.org/officeDocument/2006/relationships/hyperlink" Target="https://www.digikey.de/en/products/detail/te-connectivity-passive-product/SQMBW102R2J/22238109" TargetMode="External"/><Relationship Id="rId46" Type="http://schemas.openxmlformats.org/officeDocument/2006/relationships/hyperlink" Target="https://www.digikey.de/en/products/detail/kyocera-avx/12065C475K4T4A/11243555?" TargetMode="External"/><Relationship Id="rId59" Type="http://schemas.openxmlformats.org/officeDocument/2006/relationships/hyperlink" Target="https://www.digikey.de/en/products/detail/honeywell-sensing-and-productivity-solutions/CSNT651/3540822" TargetMode="External"/><Relationship Id="rId67" Type="http://schemas.openxmlformats.org/officeDocument/2006/relationships/hyperlink" Target="https://www.digikey.de/en/products/detail/yageo/RC1206FR-0710KL/728483" TargetMode="External"/><Relationship Id="rId20" Type="http://schemas.openxmlformats.org/officeDocument/2006/relationships/hyperlink" Target="https://www.aquatuning.com/wasserkuehlung/custom-wasserkuehlung/kuehlfluessigkeiten/fertiggemisch/waz-alphacool-es-ve-wasser-reinstwasser-5000ml" TargetMode="External"/><Relationship Id="rId41" Type="http://schemas.openxmlformats.org/officeDocument/2006/relationships/hyperlink" Target="https://www.digikey.de/en/products/detail/vishay-dale/WSL2512R2500FEA/712577" TargetMode="External"/><Relationship Id="rId54" Type="http://schemas.openxmlformats.org/officeDocument/2006/relationships/hyperlink" Target="https://www.digikey.de/en/products/detail/phoenix-contact/1935174/568615" TargetMode="External"/><Relationship Id="rId62" Type="http://schemas.openxmlformats.org/officeDocument/2006/relationships/hyperlink" Target="https://www.digikey.de/en/products/detail/infineon-technologies/IRLZ44NPBF/811808" TargetMode="External"/><Relationship Id="rId70" Type="http://schemas.openxmlformats.org/officeDocument/2006/relationships/hyperlink" Target="https://www.digikey.de/en/products/detail/jst-sales-america-inc/B6B-PH-K-S/926615" TargetMode="External"/><Relationship Id="rId1" Type="http://schemas.openxmlformats.org/officeDocument/2006/relationships/hyperlink" Target="https://www.praxindo.de/haeberle-swingo-clinic-basiswagen-60-weiss-806-mm-hoch-mit-2-ablageplatten-und-1-schublade.html" TargetMode="External"/><Relationship Id="rId6" Type="http://schemas.openxmlformats.org/officeDocument/2006/relationships/hyperlink" Target="https://www.reichelt.com/de/en/shop/product/raspberry_pi_5_b_4x_2_4_ghz_16_gb_ram_wlan_bt-392948" TargetMode="External"/><Relationship Id="rId15" Type="http://schemas.openxmlformats.org/officeDocument/2006/relationships/hyperlink" Target="https://www.digikey.de/en/products/detail/isabellenhuette-usa/BVT-V-R002-1-0/16733142" TargetMode="External"/><Relationship Id="rId23" Type="http://schemas.openxmlformats.org/officeDocument/2006/relationships/hyperlink" Target="https://www.aquatuning.com/wasserkuehlung/custom-wasserkuehlung/ausgleichsbehaelter/distribution-plates/distro-stand-alone/ank-alphacool-es-distro-plate-parallel-c5" TargetMode="External"/><Relationship Id="rId28" Type="http://schemas.openxmlformats.org/officeDocument/2006/relationships/hyperlink" Target="https://www.mouser.de/ProductDetail/826-LCM30007-T" TargetMode="External"/><Relationship Id="rId36" Type="http://schemas.openxmlformats.org/officeDocument/2006/relationships/hyperlink" Target="https://shop.watercool.de/HEATKILLER-D5-TOP" TargetMode="External"/><Relationship Id="rId49" Type="http://schemas.openxmlformats.org/officeDocument/2006/relationships/hyperlink" Target="https://www.digikey.de/en/products/detail/epcos-tdk-electronics/B41888C7108M000/3544416" TargetMode="External"/><Relationship Id="rId57" Type="http://schemas.openxmlformats.org/officeDocument/2006/relationships/hyperlink" Target="https://www.digikey.de/en/products/detail/jst-sales-america-inc/B2B-PH-K-S/926611" TargetMode="External"/><Relationship Id="rId10" Type="http://schemas.openxmlformats.org/officeDocument/2006/relationships/hyperlink" Target="https://www.digikey.de/en/products/detail/infineon-technologies/IPT067N20NM6ATMA1/20841787" TargetMode="External"/><Relationship Id="rId31" Type="http://schemas.openxmlformats.org/officeDocument/2006/relationships/hyperlink" Target="https://www.reichelt.de/de/de/shop/produkt/noctua_nf-f12_industrialppc-24v-3000_sp_ip67_pwm-342820" TargetMode="External"/><Relationship Id="rId44" Type="http://schemas.openxmlformats.org/officeDocument/2006/relationships/hyperlink" Target="https://www.digikey.de/en/products/detail/epcos-tdk-electronics/B43541B2108M000/6160840" TargetMode="External"/><Relationship Id="rId52" Type="http://schemas.openxmlformats.org/officeDocument/2006/relationships/hyperlink" Target="https://www.digikey.de/en/products/detail/kemet/C1206C152KGRACAUTO/8109863" TargetMode="External"/><Relationship Id="rId60" Type="http://schemas.openxmlformats.org/officeDocument/2006/relationships/hyperlink" Target="https://www.digikey.de/en/products/detail/jst-sales-america-inc/B4B-PH-K/768444" TargetMode="External"/><Relationship Id="rId65" Type="http://schemas.openxmlformats.org/officeDocument/2006/relationships/hyperlink" Target="https://www.digikey.de/en/products/detail/jst-sales-america-inc/B8B-PH-K-S/926617" TargetMode="External"/><Relationship Id="rId73" Type="http://schemas.openxmlformats.org/officeDocument/2006/relationships/hyperlink" Target="https://www.digikey.de/en/products/detail/sullins-connector-solutions/PPTC201LFBN-RC/810158" TargetMode="External"/><Relationship Id="rId4" Type="http://schemas.openxmlformats.org/officeDocument/2006/relationships/hyperlink" Target="https://www.reichelt.de/de/de/shop/produkt/standardservo_13_kg_digital_metallgetriebe-280644" TargetMode="External"/><Relationship Id="rId9" Type="http://schemas.openxmlformats.org/officeDocument/2006/relationships/hyperlink" Target="https://www.reichelt.de/de/de/shop/produkt/raspberry_pi_-_luefter_fuer_raspberry_pi_5-360116?" TargetMode="External"/><Relationship Id="rId13" Type="http://schemas.openxmlformats.org/officeDocument/2006/relationships/hyperlink" Target="https://www.digikey.de/en/products/detail/cal-chip-electronics-inc/GMC31X5R226M35NT/18151064" TargetMode="External"/><Relationship Id="rId18" Type="http://schemas.openxmlformats.org/officeDocument/2006/relationships/hyperlink" Target="https://www.aquatuning.com/wasserkuehlung/custom-wasserkuehlung/schlaeuche/schlaeuche/s16-alphacool-schlauch-alphatube-hf-16/10-3/8-id-klar-meterware" TargetMode="External"/><Relationship Id="rId39" Type="http://schemas.openxmlformats.org/officeDocument/2006/relationships/hyperlink" Target="https://www.digikey.de/en/products/detail/murata-electronics/GRM32EC72A106KE05L/7319245?" TargetMode="External"/><Relationship Id="rId34" Type="http://schemas.openxmlformats.org/officeDocument/2006/relationships/hyperlink" Target="https://www.schellen-shop.de/Schlauchverbindung/CPC-Kupplungen-Colder-Products/PLC-Serie/plcd22005-cpc-stecker-7-9-mm-schlauchanschluss-mit-absperrventil-buna-n-dichtung-number=2000000288930" TargetMode="External"/><Relationship Id="rId50" Type="http://schemas.openxmlformats.org/officeDocument/2006/relationships/hyperlink" Target="https://www.digikey.de/en/products/detail/traco-power/ten-40-2412wi/9383212" TargetMode="External"/><Relationship Id="rId55" Type="http://schemas.openxmlformats.org/officeDocument/2006/relationships/hyperlink" Target="https://www.digikey.de/en/products/detail/phoenix-contact/1935190/568617" TargetMode="External"/><Relationship Id="rId7" Type="http://schemas.openxmlformats.org/officeDocument/2006/relationships/hyperlink" Target="https://www.reichelt.de/de/de/shop/produkt/sdxc-speicherkarte_128_gb_sdxc_canvas_react_plus-399031" TargetMode="External"/><Relationship Id="rId71" Type="http://schemas.openxmlformats.org/officeDocument/2006/relationships/hyperlink" Target="https://www.digikey.de/en/products/detail/sullins-connector-solutions/PPTC241LFBN-RC/810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1B22-1426-41EB-999A-177375AE559C}">
  <dimension ref="A1:K95"/>
  <sheetViews>
    <sheetView tabSelected="1" topLeftCell="A64" zoomScaleNormal="100" workbookViewId="0">
      <selection activeCell="E80" sqref="E80"/>
    </sheetView>
  </sheetViews>
  <sheetFormatPr defaultRowHeight="15" x14ac:dyDescent="0.25"/>
  <cols>
    <col min="1" max="1" width="53.28515625" style="2" customWidth="1"/>
    <col min="2" max="2" width="11.140625" style="2" customWidth="1"/>
    <col min="3" max="3" width="13.85546875" style="2" customWidth="1"/>
    <col min="4" max="4" width="18.5703125" style="2" customWidth="1"/>
    <col min="5" max="5" width="159" style="2" customWidth="1"/>
    <col min="6" max="10" width="9.140625" style="2"/>
    <col min="11" max="11" width="15.42578125" style="2" customWidth="1"/>
    <col min="12" max="16384" width="9.140625" style="2"/>
  </cols>
  <sheetData>
    <row r="1" spans="1:5" s="1" customFormat="1" x14ac:dyDescent="0.25">
      <c r="A1" s="1" t="s">
        <v>17</v>
      </c>
      <c r="B1" s="1" t="s">
        <v>18</v>
      </c>
      <c r="C1" s="1" t="s">
        <v>20</v>
      </c>
      <c r="D1" s="1" t="s">
        <v>21</v>
      </c>
      <c r="E1" s="1" t="s">
        <v>19</v>
      </c>
    </row>
    <row r="2" spans="1:5" s="1" customFormat="1" x14ac:dyDescent="0.25">
      <c r="A2" s="1" t="s">
        <v>23</v>
      </c>
    </row>
    <row r="3" spans="1:5" x14ac:dyDescent="0.25">
      <c r="A3" s="4" t="s">
        <v>0</v>
      </c>
      <c r="B3" s="4">
        <v>1</v>
      </c>
      <c r="C3" s="4">
        <v>1117.4100000000001</v>
      </c>
      <c r="D3" s="2">
        <f>C3*B3</f>
        <v>1117.4100000000001</v>
      </c>
      <c r="E3" s="5" t="s">
        <v>19</v>
      </c>
    </row>
    <row r="4" spans="1:5" x14ac:dyDescent="0.25">
      <c r="A4" s="4"/>
      <c r="B4" s="4"/>
      <c r="C4" s="4"/>
      <c r="E4" s="5"/>
    </row>
    <row r="5" spans="1:5" x14ac:dyDescent="0.25">
      <c r="A5" s="6" t="s">
        <v>24</v>
      </c>
      <c r="B5" s="4"/>
      <c r="C5" s="4"/>
      <c r="E5" s="5"/>
    </row>
    <row r="6" spans="1:5" x14ac:dyDescent="0.25">
      <c r="A6" s="2" t="s">
        <v>36</v>
      </c>
      <c r="B6" s="2">
        <v>1</v>
      </c>
      <c r="C6" s="2">
        <v>736.49099999999999</v>
      </c>
      <c r="D6" s="2">
        <f t="shared" ref="D6:D11" si="0">C6*B6</f>
        <v>736.49099999999999</v>
      </c>
      <c r="E6" s="3" t="s">
        <v>19</v>
      </c>
    </row>
    <row r="7" spans="1:5" x14ac:dyDescent="0.25">
      <c r="A7" s="2" t="s">
        <v>37</v>
      </c>
      <c r="B7" s="2">
        <v>1</v>
      </c>
      <c r="C7" s="2">
        <v>199.2</v>
      </c>
      <c r="D7" s="2">
        <f t="shared" si="0"/>
        <v>199.2</v>
      </c>
      <c r="E7" s="3" t="s">
        <v>19</v>
      </c>
    </row>
    <row r="8" spans="1:5" x14ac:dyDescent="0.25">
      <c r="A8" s="2" t="s">
        <v>38</v>
      </c>
      <c r="B8" s="2">
        <v>1</v>
      </c>
      <c r="C8" s="2">
        <v>108.78</v>
      </c>
      <c r="D8" s="2">
        <f t="shared" si="0"/>
        <v>108.78</v>
      </c>
      <c r="E8" s="3" t="s">
        <v>19</v>
      </c>
    </row>
    <row r="9" spans="1:5" x14ac:dyDescent="0.25">
      <c r="A9" s="2" t="s">
        <v>62</v>
      </c>
      <c r="B9" s="2">
        <v>1</v>
      </c>
      <c r="C9" s="2">
        <v>119.58</v>
      </c>
      <c r="D9" s="2">
        <f t="shared" si="0"/>
        <v>119.58</v>
      </c>
      <c r="E9" s="3" t="s">
        <v>19</v>
      </c>
    </row>
    <row r="10" spans="1:5" x14ac:dyDescent="0.25">
      <c r="A10" s="2" t="s">
        <v>39</v>
      </c>
      <c r="B10" s="2">
        <v>1</v>
      </c>
      <c r="C10" s="2">
        <v>31.49</v>
      </c>
      <c r="D10" s="2">
        <f t="shared" si="0"/>
        <v>31.49</v>
      </c>
      <c r="E10" s="3" t="s">
        <v>19</v>
      </c>
    </row>
    <row r="11" spans="1:5" x14ac:dyDescent="0.25">
      <c r="A11" s="2" t="s">
        <v>53</v>
      </c>
      <c r="B11" s="2">
        <v>8</v>
      </c>
      <c r="C11" s="2">
        <v>1.36</v>
      </c>
      <c r="D11" s="2">
        <f t="shared" si="0"/>
        <v>10.88</v>
      </c>
      <c r="E11" s="3" t="s">
        <v>19</v>
      </c>
    </row>
    <row r="12" spans="1:5" x14ac:dyDescent="0.25">
      <c r="A12" s="2" t="s">
        <v>54</v>
      </c>
      <c r="B12" s="2">
        <v>2</v>
      </c>
      <c r="C12" s="2">
        <v>2.42</v>
      </c>
      <c r="D12" s="2">
        <f t="shared" ref="D12:D25" si="1">C12*B12</f>
        <v>4.84</v>
      </c>
      <c r="E12" s="3" t="s">
        <v>19</v>
      </c>
    </row>
    <row r="13" spans="1:5" x14ac:dyDescent="0.25">
      <c r="A13" s="2" t="s">
        <v>58</v>
      </c>
      <c r="B13" s="2">
        <v>1</v>
      </c>
      <c r="C13" s="2">
        <v>1.01</v>
      </c>
      <c r="D13" s="2">
        <f t="shared" si="1"/>
        <v>1.01</v>
      </c>
      <c r="E13" s="3" t="s">
        <v>19</v>
      </c>
    </row>
    <row r="14" spans="1:5" x14ac:dyDescent="0.25">
      <c r="A14" s="2" t="s">
        <v>64</v>
      </c>
      <c r="B14" s="2">
        <v>1</v>
      </c>
      <c r="C14" s="2">
        <v>2.72</v>
      </c>
      <c r="D14" s="2">
        <f t="shared" si="1"/>
        <v>2.72</v>
      </c>
      <c r="E14" s="3" t="s">
        <v>19</v>
      </c>
    </row>
    <row r="15" spans="1:5" x14ac:dyDescent="0.25">
      <c r="A15" s="2" t="s">
        <v>55</v>
      </c>
      <c r="B15" s="2">
        <v>1</v>
      </c>
      <c r="C15" s="2">
        <v>0.11</v>
      </c>
      <c r="D15" s="2">
        <f t="shared" si="1"/>
        <v>0.11</v>
      </c>
      <c r="E15" s="3" t="s">
        <v>19</v>
      </c>
    </row>
    <row r="16" spans="1:5" x14ac:dyDescent="0.25">
      <c r="A16" s="2" t="s">
        <v>56</v>
      </c>
      <c r="B16" s="2">
        <v>1</v>
      </c>
      <c r="C16" s="2">
        <v>7.73</v>
      </c>
      <c r="D16" s="2">
        <f t="shared" si="1"/>
        <v>7.73</v>
      </c>
      <c r="E16" s="3" t="s">
        <v>19</v>
      </c>
    </row>
    <row r="17" spans="1:5" x14ac:dyDescent="0.25">
      <c r="A17" s="4" t="s">
        <v>44</v>
      </c>
      <c r="B17" s="4">
        <v>8</v>
      </c>
      <c r="C17" s="4">
        <v>0.66</v>
      </c>
      <c r="D17" s="2">
        <f t="shared" si="1"/>
        <v>5.28</v>
      </c>
      <c r="E17" s="5" t="s">
        <v>19</v>
      </c>
    </row>
    <row r="18" spans="1:5" x14ac:dyDescent="0.25">
      <c r="A18" s="4" t="s">
        <v>59</v>
      </c>
      <c r="B18" s="4">
        <v>1</v>
      </c>
      <c r="C18" s="4">
        <v>5.99</v>
      </c>
      <c r="D18" s="2">
        <f t="shared" si="1"/>
        <v>5.99</v>
      </c>
      <c r="E18" s="5" t="s">
        <v>19</v>
      </c>
    </row>
    <row r="19" spans="1:5" x14ac:dyDescent="0.25">
      <c r="A19" s="4" t="s">
        <v>60</v>
      </c>
      <c r="B19" s="4">
        <v>10</v>
      </c>
      <c r="C19" s="4">
        <v>0.19</v>
      </c>
      <c r="D19" s="2">
        <f t="shared" si="1"/>
        <v>1.9</v>
      </c>
      <c r="E19" s="5" t="s">
        <v>19</v>
      </c>
    </row>
    <row r="20" spans="1:5" x14ac:dyDescent="0.25">
      <c r="A20" s="4" t="s">
        <v>61</v>
      </c>
      <c r="B20" s="4">
        <v>10</v>
      </c>
      <c r="C20" s="4">
        <v>1.2</v>
      </c>
      <c r="D20" s="2">
        <f t="shared" si="1"/>
        <v>12</v>
      </c>
      <c r="E20" s="5" t="s">
        <v>19</v>
      </c>
    </row>
    <row r="21" spans="1:5" x14ac:dyDescent="0.25">
      <c r="A21" s="4" t="s">
        <v>65</v>
      </c>
      <c r="B21" s="4">
        <v>1</v>
      </c>
      <c r="C21" s="4">
        <v>0.65</v>
      </c>
      <c r="D21" s="2">
        <f t="shared" si="1"/>
        <v>0.65</v>
      </c>
      <c r="E21" s="5" t="s">
        <v>19</v>
      </c>
    </row>
    <row r="22" spans="1:5" x14ac:dyDescent="0.25">
      <c r="A22" s="4" t="s">
        <v>63</v>
      </c>
      <c r="B22" s="4">
        <v>1</v>
      </c>
      <c r="C22" s="4">
        <v>0.48</v>
      </c>
      <c r="D22" s="2">
        <f t="shared" si="1"/>
        <v>0.48</v>
      </c>
      <c r="E22" s="5" t="s">
        <v>19</v>
      </c>
    </row>
    <row r="23" spans="1:5" x14ac:dyDescent="0.25">
      <c r="A23" s="4" t="s">
        <v>66</v>
      </c>
      <c r="B23" s="4">
        <v>1</v>
      </c>
      <c r="C23" s="4">
        <v>0.44</v>
      </c>
      <c r="D23" s="2">
        <f t="shared" si="1"/>
        <v>0.44</v>
      </c>
      <c r="E23" s="5" t="s">
        <v>19</v>
      </c>
    </row>
    <row r="24" spans="1:5" x14ac:dyDescent="0.25">
      <c r="A24" s="4" t="s">
        <v>67</v>
      </c>
      <c r="B24" s="4">
        <v>1</v>
      </c>
      <c r="C24" s="4">
        <v>0.61</v>
      </c>
      <c r="D24" s="2">
        <f t="shared" si="1"/>
        <v>0.61</v>
      </c>
      <c r="E24" s="5" t="s">
        <v>19</v>
      </c>
    </row>
    <row r="25" spans="1:5" x14ac:dyDescent="0.25">
      <c r="A25" s="4" t="s">
        <v>68</v>
      </c>
      <c r="B25" s="4">
        <v>1</v>
      </c>
      <c r="C25" s="4">
        <v>1.0900000000000001</v>
      </c>
      <c r="D25" s="2">
        <f t="shared" si="1"/>
        <v>1.0900000000000001</v>
      </c>
      <c r="E25" s="5" t="s">
        <v>19</v>
      </c>
    </row>
    <row r="26" spans="1:5" x14ac:dyDescent="0.25">
      <c r="A26" s="4"/>
      <c r="B26" s="4"/>
      <c r="C26" s="4"/>
      <c r="E26" s="5"/>
    </row>
    <row r="27" spans="1:5" x14ac:dyDescent="0.25">
      <c r="A27" s="4"/>
      <c r="B27" s="4"/>
      <c r="C27" s="4"/>
      <c r="E27" s="5"/>
    </row>
    <row r="28" spans="1:5" x14ac:dyDescent="0.25">
      <c r="A28" s="1" t="s">
        <v>26</v>
      </c>
    </row>
    <row r="29" spans="1:5" x14ac:dyDescent="0.25">
      <c r="A29" s="4" t="s">
        <v>7</v>
      </c>
      <c r="B29" s="4">
        <v>1</v>
      </c>
      <c r="C29" s="4">
        <v>6.25</v>
      </c>
      <c r="D29" s="2">
        <f t="shared" ref="D29:D36" si="2">C29*B29</f>
        <v>6.25</v>
      </c>
      <c r="E29" s="5" t="s">
        <v>19</v>
      </c>
    </row>
    <row r="30" spans="1:5" x14ac:dyDescent="0.25">
      <c r="A30" s="4" t="s">
        <v>8</v>
      </c>
      <c r="B30" s="4">
        <v>16</v>
      </c>
      <c r="C30" s="4">
        <v>8.3699999999999992</v>
      </c>
      <c r="D30" s="2">
        <f t="shared" si="2"/>
        <v>133.91999999999999</v>
      </c>
      <c r="E30" s="5" t="s">
        <v>19</v>
      </c>
    </row>
    <row r="31" spans="1:5" x14ac:dyDescent="0.25">
      <c r="A31" s="4" t="s">
        <v>9</v>
      </c>
      <c r="B31" s="4">
        <v>8</v>
      </c>
      <c r="C31" s="4">
        <v>2.4</v>
      </c>
      <c r="D31" s="2">
        <f t="shared" si="2"/>
        <v>19.2</v>
      </c>
      <c r="E31" s="5" t="s">
        <v>19</v>
      </c>
    </row>
    <row r="32" spans="1:5" x14ac:dyDescent="0.25">
      <c r="A32" s="4" t="s">
        <v>44</v>
      </c>
      <c r="B32" s="4">
        <v>8</v>
      </c>
      <c r="C32" s="4">
        <v>0.66</v>
      </c>
      <c r="D32" s="2">
        <f t="shared" si="2"/>
        <v>5.28</v>
      </c>
      <c r="E32" s="5" t="s">
        <v>19</v>
      </c>
    </row>
    <row r="33" spans="1:5" x14ac:dyDescent="0.25">
      <c r="A33" s="4" t="s">
        <v>45</v>
      </c>
      <c r="B33" s="4">
        <v>8</v>
      </c>
      <c r="C33" s="4">
        <v>0.46</v>
      </c>
      <c r="D33" s="2">
        <f t="shared" si="2"/>
        <v>3.68</v>
      </c>
      <c r="E33" s="5" t="s">
        <v>19</v>
      </c>
    </row>
    <row r="34" spans="1:5" x14ac:dyDescent="0.25">
      <c r="A34" s="4" t="s">
        <v>46</v>
      </c>
      <c r="B34" s="4">
        <v>4</v>
      </c>
      <c r="C34" s="4">
        <v>107</v>
      </c>
      <c r="D34" s="2">
        <f t="shared" si="2"/>
        <v>428</v>
      </c>
      <c r="E34" s="5" t="s">
        <v>19</v>
      </c>
    </row>
    <row r="35" spans="1:5" x14ac:dyDescent="0.25">
      <c r="A35" s="4" t="s">
        <v>47</v>
      </c>
      <c r="B35" s="4">
        <v>4</v>
      </c>
      <c r="C35" s="4">
        <v>3.34</v>
      </c>
      <c r="D35" s="2">
        <f t="shared" si="2"/>
        <v>13.36</v>
      </c>
      <c r="E35" s="5" t="s">
        <v>19</v>
      </c>
    </row>
    <row r="36" spans="1:5" x14ac:dyDescent="0.25">
      <c r="A36" s="4" t="s">
        <v>48</v>
      </c>
      <c r="B36" s="4">
        <v>4</v>
      </c>
      <c r="C36" s="4">
        <v>36.94</v>
      </c>
      <c r="D36" s="2">
        <f t="shared" si="2"/>
        <v>147.76</v>
      </c>
      <c r="E36" s="5" t="s">
        <v>19</v>
      </c>
    </row>
    <row r="37" spans="1:5" x14ac:dyDescent="0.25">
      <c r="A37" s="4" t="s">
        <v>57</v>
      </c>
      <c r="B37" s="4">
        <v>4</v>
      </c>
      <c r="C37" s="4">
        <v>1.8</v>
      </c>
      <c r="D37" s="2">
        <f t="shared" ref="D37" si="3">C37*B37</f>
        <v>7.2</v>
      </c>
      <c r="E37" s="5" t="s">
        <v>19</v>
      </c>
    </row>
    <row r="38" spans="1:5" x14ac:dyDescent="0.25">
      <c r="A38" s="2" t="s">
        <v>56</v>
      </c>
      <c r="B38" s="2">
        <v>4</v>
      </c>
      <c r="C38" s="2">
        <v>7.73</v>
      </c>
      <c r="D38" s="2">
        <f>C38*B38</f>
        <v>30.92</v>
      </c>
      <c r="E38" s="3" t="s">
        <v>19</v>
      </c>
    </row>
    <row r="39" spans="1:5" x14ac:dyDescent="0.25">
      <c r="A39" s="2" t="s">
        <v>69</v>
      </c>
      <c r="B39" s="2">
        <v>4</v>
      </c>
      <c r="C39" s="2">
        <v>0.52</v>
      </c>
      <c r="D39" s="2">
        <f>C39*B39</f>
        <v>2.08</v>
      </c>
      <c r="E39" s="3" t="s">
        <v>19</v>
      </c>
    </row>
    <row r="40" spans="1:5" x14ac:dyDescent="0.25">
      <c r="A40" s="2" t="s">
        <v>71</v>
      </c>
      <c r="B40" s="2">
        <v>4</v>
      </c>
      <c r="C40" s="2">
        <v>0.13</v>
      </c>
      <c r="D40" s="2">
        <f t="shared" ref="D40:D41" si="4">C40*B40</f>
        <v>0.52</v>
      </c>
      <c r="E40" s="3" t="s">
        <v>19</v>
      </c>
    </row>
    <row r="41" spans="1:5" x14ac:dyDescent="0.25">
      <c r="A41" s="2" t="s">
        <v>70</v>
      </c>
      <c r="B41" s="2">
        <v>4</v>
      </c>
      <c r="C41" s="2">
        <v>0.4</v>
      </c>
      <c r="D41" s="2">
        <f t="shared" si="4"/>
        <v>1.6</v>
      </c>
      <c r="E41" s="3" t="s">
        <v>19</v>
      </c>
    </row>
    <row r="42" spans="1:5" x14ac:dyDescent="0.25">
      <c r="E42" s="3"/>
    </row>
    <row r="43" spans="1:5" s="1" customFormat="1" x14ac:dyDescent="0.25">
      <c r="A43" s="6" t="s">
        <v>34</v>
      </c>
      <c r="B43" s="6"/>
      <c r="C43" s="6"/>
      <c r="D43" s="2"/>
      <c r="E43" s="5" t="s">
        <v>19</v>
      </c>
    </row>
    <row r="44" spans="1:5" x14ac:dyDescent="0.25">
      <c r="A44" s="4" t="s">
        <v>35</v>
      </c>
      <c r="B44" s="4">
        <v>4</v>
      </c>
      <c r="C44" s="4">
        <v>56.64</v>
      </c>
      <c r="D44" s="2">
        <f t="shared" ref="D44:D49" si="5">C44*B44</f>
        <v>226.56</v>
      </c>
      <c r="E44" s="5" t="s">
        <v>19</v>
      </c>
    </row>
    <row r="45" spans="1:5" x14ac:dyDescent="0.25">
      <c r="A45" s="2" t="s">
        <v>78</v>
      </c>
      <c r="B45" s="2">
        <v>8</v>
      </c>
      <c r="C45" s="2">
        <v>0.21</v>
      </c>
      <c r="D45" s="2">
        <f t="shared" si="5"/>
        <v>1.68</v>
      </c>
      <c r="E45" s="3" t="s">
        <v>19</v>
      </c>
    </row>
    <row r="46" spans="1:5" x14ac:dyDescent="0.25">
      <c r="A46" s="4" t="s">
        <v>74</v>
      </c>
      <c r="B46" s="4">
        <v>8</v>
      </c>
      <c r="C46" s="4">
        <v>0.1</v>
      </c>
      <c r="D46" s="2">
        <f>C46*B46</f>
        <v>0.8</v>
      </c>
      <c r="E46" s="5" t="s">
        <v>19</v>
      </c>
    </row>
    <row r="47" spans="1:5" x14ac:dyDescent="0.25">
      <c r="A47" s="4" t="s">
        <v>76</v>
      </c>
      <c r="B47" s="4">
        <v>8</v>
      </c>
      <c r="C47" s="4">
        <v>0.11</v>
      </c>
      <c r="D47" s="2">
        <f>C47*B47</f>
        <v>0.88</v>
      </c>
      <c r="E47" s="5" t="s">
        <v>19</v>
      </c>
    </row>
    <row r="48" spans="1:5" x14ac:dyDescent="0.25">
      <c r="A48" s="4" t="s">
        <v>75</v>
      </c>
      <c r="B48" s="4">
        <v>8</v>
      </c>
      <c r="C48" s="4">
        <v>0.33</v>
      </c>
      <c r="D48" s="2">
        <f t="shared" si="5"/>
        <v>2.64</v>
      </c>
      <c r="E48" s="5" t="s">
        <v>19</v>
      </c>
    </row>
    <row r="49" spans="1:5" x14ac:dyDescent="0.25">
      <c r="A49" s="4" t="s">
        <v>77</v>
      </c>
      <c r="B49" s="4">
        <v>8</v>
      </c>
      <c r="C49" s="4">
        <v>1.58</v>
      </c>
      <c r="D49" s="2">
        <f t="shared" si="5"/>
        <v>12.64</v>
      </c>
      <c r="E49" s="5" t="s">
        <v>19</v>
      </c>
    </row>
    <row r="50" spans="1:5" x14ac:dyDescent="0.25">
      <c r="A50" s="4"/>
      <c r="B50" s="4"/>
      <c r="C50" s="4"/>
      <c r="E50" s="5"/>
    </row>
    <row r="51" spans="1:5" x14ac:dyDescent="0.25">
      <c r="A51" s="1" t="s">
        <v>25</v>
      </c>
    </row>
    <row r="52" spans="1:5" x14ac:dyDescent="0.25">
      <c r="A52" s="4" t="s">
        <v>3</v>
      </c>
      <c r="B52" s="4">
        <v>16</v>
      </c>
      <c r="C52" s="4">
        <v>23.6</v>
      </c>
      <c r="D52" s="2">
        <f>C52*B52</f>
        <v>377.6</v>
      </c>
      <c r="E52" s="5" t="s">
        <v>19</v>
      </c>
    </row>
    <row r="53" spans="1:5" x14ac:dyDescent="0.25">
      <c r="A53" s="4" t="s">
        <v>2</v>
      </c>
      <c r="B53" s="4">
        <v>1</v>
      </c>
      <c r="C53" s="4">
        <v>27.99</v>
      </c>
      <c r="D53" s="2">
        <f>C53*B53</f>
        <v>27.99</v>
      </c>
      <c r="E53" s="5" t="s">
        <v>19</v>
      </c>
    </row>
    <row r="54" spans="1:5" x14ac:dyDescent="0.25">
      <c r="A54" s="4" t="s">
        <v>79</v>
      </c>
      <c r="B54" s="4">
        <v>64</v>
      </c>
      <c r="C54" s="4">
        <v>1.3</v>
      </c>
      <c r="D54" s="2">
        <f t="shared" ref="D54:D58" si="6">C54*B54</f>
        <v>83.2</v>
      </c>
      <c r="E54" s="5" t="s">
        <v>19</v>
      </c>
    </row>
    <row r="55" spans="1:5" x14ac:dyDescent="0.25">
      <c r="A55" s="4" t="s">
        <v>80</v>
      </c>
      <c r="B55" s="4">
        <v>64</v>
      </c>
      <c r="C55" s="4">
        <v>1.6</v>
      </c>
      <c r="D55" s="2">
        <f t="shared" si="6"/>
        <v>102.4</v>
      </c>
      <c r="E55" s="5" t="s">
        <v>19</v>
      </c>
    </row>
    <row r="56" spans="1:5" x14ac:dyDescent="0.25">
      <c r="A56" s="4" t="s">
        <v>81</v>
      </c>
      <c r="B56" s="4">
        <v>64</v>
      </c>
      <c r="C56" s="4">
        <v>2.35</v>
      </c>
      <c r="D56" s="2">
        <f t="shared" si="6"/>
        <v>150.4</v>
      </c>
      <c r="E56" s="5" t="s">
        <v>19</v>
      </c>
    </row>
    <row r="57" spans="1:5" x14ac:dyDescent="0.25">
      <c r="A57" s="4" t="s">
        <v>82</v>
      </c>
      <c r="B57" s="2">
        <v>64</v>
      </c>
      <c r="C57" s="4">
        <v>2.5499999999999998</v>
      </c>
      <c r="D57" s="2">
        <f t="shared" si="6"/>
        <v>163.19999999999999</v>
      </c>
      <c r="E57" s="5" t="s">
        <v>19</v>
      </c>
    </row>
    <row r="58" spans="1:5" x14ac:dyDescent="0.25">
      <c r="A58" s="4" t="s">
        <v>83</v>
      </c>
      <c r="B58" s="2">
        <v>8</v>
      </c>
      <c r="C58" s="4">
        <v>0.33</v>
      </c>
      <c r="D58" s="2">
        <f t="shared" si="6"/>
        <v>2.64</v>
      </c>
      <c r="E58" s="5" t="s">
        <v>19</v>
      </c>
    </row>
    <row r="59" spans="1:5" x14ac:dyDescent="0.25">
      <c r="A59" s="4" t="s">
        <v>84</v>
      </c>
      <c r="B59" s="2">
        <v>4</v>
      </c>
      <c r="C59" s="4">
        <v>1.58</v>
      </c>
      <c r="D59" s="2">
        <f>C59*B59</f>
        <v>6.32</v>
      </c>
      <c r="E59" s="5" t="s">
        <v>19</v>
      </c>
    </row>
    <row r="60" spans="1:5" x14ac:dyDescent="0.25">
      <c r="A60" s="4" t="s">
        <v>87</v>
      </c>
      <c r="B60" s="2">
        <v>2</v>
      </c>
      <c r="C60" s="4">
        <v>1.5</v>
      </c>
      <c r="D60" s="2">
        <f>C60*B60</f>
        <v>3</v>
      </c>
      <c r="E60" s="5" t="s">
        <v>19</v>
      </c>
    </row>
    <row r="61" spans="1:5" x14ac:dyDescent="0.25">
      <c r="A61" s="4"/>
      <c r="B61" s="4"/>
      <c r="C61" s="4"/>
      <c r="E61" s="5"/>
    </row>
    <row r="62" spans="1:5" x14ac:dyDescent="0.25">
      <c r="A62" s="6" t="s">
        <v>28</v>
      </c>
      <c r="B62" s="4"/>
      <c r="C62" s="4"/>
      <c r="E62" s="5"/>
    </row>
    <row r="63" spans="1:5" x14ac:dyDescent="0.25">
      <c r="A63" s="4" t="s">
        <v>10</v>
      </c>
      <c r="B63" s="4">
        <v>4</v>
      </c>
      <c r="C63" s="4">
        <v>194.44</v>
      </c>
      <c r="D63" s="2">
        <f t="shared" ref="D63:D71" si="7">C63*B63</f>
        <v>777.76</v>
      </c>
      <c r="E63" s="5" t="s">
        <v>19</v>
      </c>
    </row>
    <row r="64" spans="1:5" s="1" customFormat="1" x14ac:dyDescent="0.25">
      <c r="A64" s="4" t="s">
        <v>11</v>
      </c>
      <c r="B64" s="4">
        <v>4</v>
      </c>
      <c r="C64" s="4">
        <v>7.48</v>
      </c>
      <c r="D64" s="2">
        <f t="shared" si="7"/>
        <v>29.92</v>
      </c>
      <c r="E64" s="5" t="s">
        <v>19</v>
      </c>
    </row>
    <row r="65" spans="1:5" x14ac:dyDescent="0.25">
      <c r="A65" s="4" t="s">
        <v>12</v>
      </c>
      <c r="B65" s="4">
        <v>10</v>
      </c>
      <c r="C65" s="4">
        <v>5.91</v>
      </c>
      <c r="D65" s="2">
        <f t="shared" si="7"/>
        <v>59.1</v>
      </c>
      <c r="E65" s="5" t="s">
        <v>19</v>
      </c>
    </row>
    <row r="66" spans="1:5" x14ac:dyDescent="0.25">
      <c r="A66" s="4" t="s">
        <v>13</v>
      </c>
      <c r="B66" s="4">
        <v>2</v>
      </c>
      <c r="C66" s="4">
        <v>69.28</v>
      </c>
      <c r="D66" s="2">
        <f t="shared" si="7"/>
        <v>138.56</v>
      </c>
      <c r="E66" s="5" t="s">
        <v>19</v>
      </c>
    </row>
    <row r="67" spans="1:5" x14ac:dyDescent="0.25">
      <c r="A67" s="4" t="s">
        <v>14</v>
      </c>
      <c r="B67" s="4">
        <v>5</v>
      </c>
      <c r="C67" s="4">
        <v>39.58</v>
      </c>
      <c r="D67" s="2">
        <f t="shared" si="7"/>
        <v>197.89999999999998</v>
      </c>
      <c r="E67" s="5" t="s">
        <v>19</v>
      </c>
    </row>
    <row r="68" spans="1:5" x14ac:dyDescent="0.25">
      <c r="A68" s="4" t="s">
        <v>15</v>
      </c>
      <c r="B68" s="4">
        <v>8</v>
      </c>
      <c r="C68" s="4">
        <v>15.88</v>
      </c>
      <c r="D68" s="2">
        <f t="shared" si="7"/>
        <v>127.04</v>
      </c>
      <c r="E68" s="5" t="s">
        <v>19</v>
      </c>
    </row>
    <row r="69" spans="1:5" x14ac:dyDescent="0.25">
      <c r="A69" s="4" t="s">
        <v>16</v>
      </c>
      <c r="B69" s="4">
        <v>1</v>
      </c>
      <c r="C69" s="4">
        <v>64.38</v>
      </c>
      <c r="D69" s="2">
        <f t="shared" si="7"/>
        <v>64.38</v>
      </c>
      <c r="E69" s="5" t="s">
        <v>19</v>
      </c>
    </row>
    <row r="70" spans="1:5" x14ac:dyDescent="0.25">
      <c r="A70" s="4" t="s">
        <v>30</v>
      </c>
      <c r="B70" s="4">
        <v>1</v>
      </c>
      <c r="C70" s="4">
        <v>1.2</v>
      </c>
      <c r="D70" s="2">
        <f t="shared" si="7"/>
        <v>1.2</v>
      </c>
      <c r="E70" s="5" t="s">
        <v>19</v>
      </c>
    </row>
    <row r="71" spans="1:5" x14ac:dyDescent="0.25">
      <c r="A71" s="2" t="s">
        <v>40</v>
      </c>
      <c r="B71" s="2">
        <v>16</v>
      </c>
      <c r="C71" s="2">
        <v>37.950000000000003</v>
      </c>
      <c r="D71" s="2">
        <f t="shared" si="7"/>
        <v>607.20000000000005</v>
      </c>
      <c r="E71" s="3" t="s">
        <v>19</v>
      </c>
    </row>
    <row r="72" spans="1:5" x14ac:dyDescent="0.25">
      <c r="A72" s="2" t="s">
        <v>41</v>
      </c>
      <c r="B72" s="2">
        <v>10</v>
      </c>
      <c r="C72" s="2">
        <v>10.5</v>
      </c>
      <c r="D72" s="2">
        <f t="shared" ref="D72:D78" si="8">C72*B72</f>
        <v>105</v>
      </c>
      <c r="E72" s="3" t="s">
        <v>19</v>
      </c>
    </row>
    <row r="73" spans="1:5" x14ac:dyDescent="0.25">
      <c r="A73" s="2" t="s">
        <v>42</v>
      </c>
      <c r="B73" s="2">
        <v>25</v>
      </c>
      <c r="C73" s="2">
        <v>10.31</v>
      </c>
      <c r="D73" s="2">
        <f t="shared" si="8"/>
        <v>257.75</v>
      </c>
      <c r="E73" s="3" t="s">
        <v>19</v>
      </c>
    </row>
    <row r="74" spans="1:5" x14ac:dyDescent="0.25">
      <c r="A74" s="2" t="s">
        <v>43</v>
      </c>
      <c r="B74" s="2">
        <v>20</v>
      </c>
      <c r="C74" s="2">
        <v>7.78</v>
      </c>
      <c r="D74" s="2">
        <f t="shared" si="8"/>
        <v>155.6</v>
      </c>
      <c r="E74" s="3" t="s">
        <v>19</v>
      </c>
    </row>
    <row r="75" spans="1:5" x14ac:dyDescent="0.25">
      <c r="A75" s="2" t="s">
        <v>50</v>
      </c>
      <c r="B75" s="2">
        <v>1</v>
      </c>
      <c r="C75" s="2">
        <v>84.95</v>
      </c>
      <c r="D75" s="2">
        <f t="shared" si="8"/>
        <v>84.95</v>
      </c>
      <c r="E75" s="3" t="s">
        <v>19</v>
      </c>
    </row>
    <row r="76" spans="1:5" x14ac:dyDescent="0.25">
      <c r="A76" s="2" t="s">
        <v>51</v>
      </c>
      <c r="B76" s="2">
        <v>1</v>
      </c>
      <c r="C76" s="2">
        <v>44.95</v>
      </c>
      <c r="D76" s="2">
        <f t="shared" si="8"/>
        <v>44.95</v>
      </c>
      <c r="E76" s="3" t="s">
        <v>19</v>
      </c>
    </row>
    <row r="77" spans="1:5" x14ac:dyDescent="0.25">
      <c r="A77" s="2" t="s">
        <v>52</v>
      </c>
      <c r="B77" s="2">
        <v>1</v>
      </c>
      <c r="C77" s="2">
        <v>84.95</v>
      </c>
      <c r="D77" s="2">
        <f t="shared" si="8"/>
        <v>84.95</v>
      </c>
      <c r="E77" s="3" t="s">
        <v>19</v>
      </c>
    </row>
    <row r="78" spans="1:5" x14ac:dyDescent="0.25">
      <c r="A78" s="2" t="s">
        <v>72</v>
      </c>
      <c r="B78" s="2">
        <v>16</v>
      </c>
      <c r="C78" s="2">
        <v>0.55000000000000004</v>
      </c>
      <c r="D78" s="2">
        <f t="shared" si="8"/>
        <v>8.8000000000000007</v>
      </c>
      <c r="E78" s="3" t="s">
        <v>19</v>
      </c>
    </row>
    <row r="80" spans="1:5" x14ac:dyDescent="0.25">
      <c r="A80" s="1" t="s">
        <v>29</v>
      </c>
    </row>
    <row r="81" spans="1:11" x14ac:dyDescent="0.25">
      <c r="A81" s="2" t="s">
        <v>22</v>
      </c>
      <c r="B81" s="2">
        <v>4</v>
      </c>
      <c r="C81" s="2">
        <v>0.62</v>
      </c>
      <c r="D81" s="2">
        <f t="shared" ref="D81:D82" si="9">C81*B81</f>
        <v>2.48</v>
      </c>
      <c r="E81" s="3" t="s">
        <v>19</v>
      </c>
    </row>
    <row r="82" spans="1:11" x14ac:dyDescent="0.25">
      <c r="A82" s="4" t="s">
        <v>31</v>
      </c>
      <c r="B82" s="4">
        <v>8</v>
      </c>
      <c r="C82" s="4">
        <v>1</v>
      </c>
      <c r="D82" s="2">
        <f t="shared" si="9"/>
        <v>8</v>
      </c>
      <c r="E82" s="5" t="s">
        <v>19</v>
      </c>
    </row>
    <row r="83" spans="1:11" x14ac:dyDescent="0.25">
      <c r="A83" s="4"/>
      <c r="B83" s="4"/>
      <c r="C83" s="4"/>
      <c r="E83" s="5"/>
    </row>
    <row r="84" spans="1:11" x14ac:dyDescent="0.25">
      <c r="A84" s="1" t="s">
        <v>27</v>
      </c>
      <c r="B84" s="1"/>
      <c r="C84" s="1"/>
      <c r="D84" s="1"/>
      <c r="E84" s="1"/>
    </row>
    <row r="85" spans="1:11" x14ac:dyDescent="0.25">
      <c r="A85" s="4" t="s">
        <v>4</v>
      </c>
      <c r="B85" s="4">
        <v>1</v>
      </c>
      <c r="C85" s="4">
        <v>141.5</v>
      </c>
      <c r="D85" s="2">
        <f>C85*B85</f>
        <v>141.5</v>
      </c>
      <c r="E85" s="5" t="s">
        <v>19</v>
      </c>
    </row>
    <row r="86" spans="1:11" x14ac:dyDescent="0.25">
      <c r="A86" s="4" t="s">
        <v>5</v>
      </c>
      <c r="B86" s="4">
        <v>1</v>
      </c>
      <c r="C86" s="4">
        <v>231.95</v>
      </c>
      <c r="D86" s="2">
        <f>C86*B86</f>
        <v>231.95</v>
      </c>
      <c r="E86" s="5" t="s">
        <v>19</v>
      </c>
    </row>
    <row r="87" spans="1:11" x14ac:dyDescent="0.25">
      <c r="A87" s="4" t="s">
        <v>6</v>
      </c>
      <c r="B87" s="4">
        <v>1</v>
      </c>
      <c r="C87" s="4">
        <v>27.95</v>
      </c>
      <c r="D87" s="2">
        <f>C87*B87</f>
        <v>27.95</v>
      </c>
      <c r="E87" s="5" t="s">
        <v>19</v>
      </c>
    </row>
    <row r="88" spans="1:11" x14ac:dyDescent="0.25">
      <c r="A88" s="4" t="s">
        <v>85</v>
      </c>
      <c r="B88" s="4">
        <v>1</v>
      </c>
      <c r="C88" s="4">
        <v>112.32</v>
      </c>
      <c r="D88" s="2">
        <f>C88*B88</f>
        <v>112.32</v>
      </c>
      <c r="E88" s="5" t="s">
        <v>19</v>
      </c>
    </row>
    <row r="89" spans="1:11" x14ac:dyDescent="0.25">
      <c r="A89" s="4" t="s">
        <v>86</v>
      </c>
      <c r="B89" s="4">
        <v>4</v>
      </c>
      <c r="C89" s="4">
        <v>8.65</v>
      </c>
      <c r="D89" s="2">
        <f>C89*B89</f>
        <v>34.6</v>
      </c>
      <c r="E89" s="5" t="s">
        <v>19</v>
      </c>
    </row>
    <row r="90" spans="1:11" x14ac:dyDescent="0.25">
      <c r="A90" s="4" t="s">
        <v>88</v>
      </c>
      <c r="B90" s="2">
        <v>2</v>
      </c>
      <c r="C90" s="4">
        <v>1.5</v>
      </c>
      <c r="D90" s="2">
        <f>C90*B90</f>
        <v>3</v>
      </c>
      <c r="E90" s="5" t="s">
        <v>19</v>
      </c>
    </row>
    <row r="91" spans="1:11" x14ac:dyDescent="0.25">
      <c r="A91" s="4"/>
      <c r="C91" s="4"/>
      <c r="E91" s="5"/>
    </row>
    <row r="92" spans="1:11" x14ac:dyDescent="0.25">
      <c r="A92" s="1" t="s">
        <v>33</v>
      </c>
    </row>
    <row r="93" spans="1:11" x14ac:dyDescent="0.25">
      <c r="A93" s="4" t="s">
        <v>32</v>
      </c>
      <c r="B93" s="4">
        <v>40</v>
      </c>
      <c r="C93" s="4">
        <v>2.29</v>
      </c>
      <c r="D93" s="2">
        <f>C93*B93</f>
        <v>91.6</v>
      </c>
      <c r="E93" s="5" t="s">
        <v>19</v>
      </c>
      <c r="K93" s="1" t="s">
        <v>49</v>
      </c>
    </row>
    <row r="94" spans="1:11" x14ac:dyDescent="0.25">
      <c r="A94" s="4" t="s">
        <v>1</v>
      </c>
      <c r="B94" s="4">
        <v>5</v>
      </c>
      <c r="C94" s="4">
        <v>7.9</v>
      </c>
      <c r="D94" s="2">
        <f>C94*B94</f>
        <v>39.5</v>
      </c>
      <c r="E94" s="5" t="s">
        <v>19</v>
      </c>
      <c r="K94" s="2">
        <f>SUM(D3:D240)</f>
        <v>7770.1210000000001</v>
      </c>
    </row>
    <row r="95" spans="1:11" x14ac:dyDescent="0.25">
      <c r="A95" s="4" t="s">
        <v>73</v>
      </c>
      <c r="B95" s="4">
        <v>8</v>
      </c>
      <c r="C95" s="4">
        <v>0.22</v>
      </c>
      <c r="D95" s="2">
        <f>C95*B95</f>
        <v>1.76</v>
      </c>
      <c r="E95" s="5" t="s">
        <v>19</v>
      </c>
    </row>
  </sheetData>
  <hyperlinks>
    <hyperlink ref="E3" r:id="rId1" xr:uid="{CD79C1EF-ECB8-4E94-A30C-114D9F1EBDA3}"/>
    <hyperlink ref="E93" r:id="rId2" xr:uid="{C1F0B598-8934-4F81-A9D6-A9AD9F521B9F}"/>
    <hyperlink ref="E94" r:id="rId3" display="https://www.thermal-grizzly.com/kryonaut/s-tg-k-001-rs" xr:uid="{C8665FE3-1CE2-4C4B-814F-16DD0BE8689D}"/>
    <hyperlink ref="E52" r:id="rId4" display="https://www.reichelt.de/de/de/shop/produkt/standardservo_13_kg_digital_metallgetriebe-280644" xr:uid="{B5F90005-18C4-4BE4-AC86-8E66EB26A9DE}"/>
    <hyperlink ref="E53" r:id="rId5" display="https://www.conrad.de/de/p/kontakt-chemie-kontakt-gold-2000-82509-aa-hochleistungs-schmierstoff-200-ml-813982.html" xr:uid="{0F91C7A4-0EB6-4DA0-AC8B-E2484F95BA79}"/>
    <hyperlink ref="E85" r:id="rId6" display="https://www.reichelt.com/de/en/shop/product/raspberry_pi_5_b_4x_2_4_ghz_16_gb_ram_wlan_bt-392948" xr:uid="{4AFC58D1-B038-480E-889C-1DF8FE030CC0}"/>
    <hyperlink ref="E87" r:id="rId7" display="https://www.reichelt.de/de/de/shop/produkt/sdxc-speicherkarte_128_gb_sdxc_canvas_react_plus-399031" xr:uid="{20912EFB-2D70-4821-8456-610B7147A944}"/>
    <hyperlink ref="E86" r:id="rId8" display="https://www.reichelt.de/de/de/shop/produkt/raspberry_pi_-_touch-display_lcd_10_1_1920x1200_hdmi-354196" xr:uid="{07BDD0C8-E9B2-4957-A07C-BB38222B5576}"/>
    <hyperlink ref="E29" r:id="rId9" display="https://www.reichelt.de/de/de/shop/produkt/raspberry_pi_-_luefter_fuer_raspberry_pi_5-360116?" xr:uid="{FE02C3A5-B3EC-4159-A8E0-0941BFD662BF}"/>
    <hyperlink ref="E30" r:id="rId10" display="https://www.digikey.de/en/products/detail/infineon-technologies/IPT067N20NM6ATMA1/20841787" xr:uid="{6C0AD449-B74C-4AD8-839D-22CD6B87A046}"/>
    <hyperlink ref="E31" r:id="rId11" display="https://www.digikey.de/en/products/detail/infineon-technologies/2EDL23N06PJXUMA1/4571869?" xr:uid="{98A157B9-26CE-474B-A144-5CA8D1C47594}"/>
    <hyperlink ref="E32" r:id="rId12" display="https://www.digikey.de/en/products/detail/kyocera-avx/12065C475K4T4A/11243555?" xr:uid="{9F67D4D1-2621-4278-93C8-46746D48F6AC}"/>
    <hyperlink ref="E33" r:id="rId13" display="https://www.digikey.de/en/products/detail/cal-chip-electronics-inc/GMC31X5R226M35NT/18151064" xr:uid="{C2D733E5-0CAF-4306-9E79-8285ADC69E85}"/>
    <hyperlink ref="E34" r:id="rId14" display="https://www.digikey.de/en/products/detail/cornell-dubilier-knowles/944U101K801AAM/2117803" xr:uid="{847C8351-D973-49DD-B324-3993CF559638}"/>
    <hyperlink ref="E35" r:id="rId15" display="https://www.digikey.de/en/products/detail/isabellenhuette-usa/BVT-V-R002-1-0/16733142" xr:uid="{51AF406C-2386-46C5-8E7B-11AF39851A17}"/>
    <hyperlink ref="E36" r:id="rId16" display="https://www.digikey.de/en/products/detail/codaca/CPEX3635L-111MC/17767112" xr:uid="{CD86D4B3-2FB5-4FFB-9E4C-0BC3649D9C6A}"/>
    <hyperlink ref="E63" r:id="rId17" display="https://www.aquatuning.com/wasserkuehlung/custom-wasserkuehlung/radiatoren/alle-radiatoren/rad-black-ice-nemesis-radiator-gtx-480-black" xr:uid="{7680185D-BA03-4149-9C7F-83D9891A845B}"/>
    <hyperlink ref="E64" r:id="rId18" display="https://www.aquatuning.com/wasserkuehlung/custom-wasserkuehlung/schlaeuche/schlaeuche/s16-alphacool-schlauch-alphatube-hf-16/10-3/8-id-klar-meterware" xr:uid="{A0DB2F5F-7889-4C79-AB7F-D33F9DACEE9E}"/>
    <hyperlink ref="E65" r:id="rId19" display="https://www.aquatuning.com/wasserkuehlung/custom-wasserkuehlung/anschluesse/anschraubtuellen/ans-alphacool-eiszapfen-16/10mm-anschraubtuelle-g1/4-chrome" xr:uid="{A2399CFA-0B46-4125-9BA6-624069CA50FA}"/>
    <hyperlink ref="E66" r:id="rId20" display="https://www.aquatuning.com/wasserkuehlung/custom-wasserkuehlung/kuehlfluessigkeiten/fertiggemisch/waz-alphacool-es-ve-wasser-reinstwasser-5000ml" xr:uid="{89216F0B-CBB5-414A-8FC9-E2EED6DAB260}"/>
    <hyperlink ref="E67" r:id="rId21" display="https://www.aquatuning.com/wasserkuehlung/custom-wasserkuehlung/ueberwachung/durchflusssensor/sen-alphacool-es-durchfluss-und-temperatursensor-highflow-mit-tachosignal" xr:uid="{4E91DCCE-E0BE-464B-BBCA-C92E17940C5A}"/>
    <hyperlink ref="E68" r:id="rId22" display="https://www.aquatuning.com/wasserkuehlung/custom-wasserkuehlung/ueberwachung/thermosensor/sen-alphacool-eiszapfen-temperatursensor-g1/4-ig/ig-mit-ag-adapter-deep-black" xr:uid="{D1F4CF1C-BF3A-44F1-BFB0-7D4A0E39C0E4}"/>
    <hyperlink ref="E69" r:id="rId23" display="https://www.aquatuning.com/wasserkuehlung/custom-wasserkuehlung/ausgleichsbehaelter/distribution-plates/distro-stand-alone/ank-alphacool-es-distro-plate-parallel-c5" xr:uid="{4E13901D-1F84-4DC9-8146-93E21BA2055A}"/>
    <hyperlink ref="E81" r:id="rId24" display="https://www.amazon.de/dp/B00858TU8W?ref=ppx_yo2ov_dt_b_fed_asin_title" xr:uid="{9EFDCDC4-F5D1-470B-8DEC-4B884DAA54BD}"/>
    <hyperlink ref="E70" r:id="rId25" display="https://www.amazon.de/dp/B07F8SQGZ7?ref=ppx_yo2ov_dt_b_fed_asin_title&amp;th=1" xr:uid="{BD2E561F-3D6F-4C83-B177-03FF20426166}"/>
    <hyperlink ref="E82" r:id="rId26" display="https://www.amazon.de/dp/B07Q3173NC?ref=ppx_yo2ov_dt_b_fed_asin_title&amp;th=1" xr:uid="{1CA0E8B1-28F7-46C5-A19A-A4D5DD3026B1}"/>
    <hyperlink ref="E43" r:id="rId27" display="https://www.mouser.de/ProductDetail/Honeywell/CSNT651?qs=NdpYyUm6Jo7g2wxYDGPEtA%3D%3D" xr:uid="{99A7F71E-B815-41CC-AC96-6FA6A1120D44}"/>
    <hyperlink ref="E6" r:id="rId28" display="https://www.mouser.de/ProductDetail/826-LCM30007-T" xr:uid="{8F50CE55-C311-43E2-B4C3-0C465AF316AE}"/>
    <hyperlink ref="E7" r:id="rId29" display="https://www.mouser.de/ProductDetail/492-DCM3623TA526B4T0" xr:uid="{1500F163-1D3B-42F2-BFEC-B6C51EBB63DA}"/>
    <hyperlink ref="E8" r:id="rId30" display="https://www.mouser.de/ProductDetail/495-TEN-40-2411WI" xr:uid="{F3627E95-2779-45AE-8BCB-106CCE564AD2}"/>
    <hyperlink ref="E71" r:id="rId31" display="https://www.reichelt.de/de/de/shop/produkt/noctua_nf-f12_industrialppc-24v-3000_sp_ip67_pwm-342820" xr:uid="{C9131025-FD41-4FE5-98A0-76CFD6109351}"/>
    <hyperlink ref="E72" r:id="rId32" display="https://www.schellen-shop.de/Schlauchverbindung/CPC-Kupplungen-Colder-Products/PLC-Serie/plcd24004bspt-cpc-stecker-1-4-bspt-aussengewinde-mit-absperrventil-buna-n-dichtung-number=2000000288941" xr:uid="{CE301C7D-F23A-443F-89FD-81111BFE8C8D}"/>
    <hyperlink ref="E73" r:id="rId33" display="https://www.schellen-shop.de/Schlauchverbindung/CPC-Kupplungen-Colder-Products/PLC-Serie/plcd17005-cpc-kupplung-7-9-mm-schlauchanschluss-mit-absperrventil-buna-n-dichtung-number=2000000288914" xr:uid="{35613388-768C-4BBA-9287-7D56312C960E}"/>
    <hyperlink ref="E74" r:id="rId34" display="https://www.schellen-shop.de/Schlauchverbindung/CPC-Kupplungen-Colder-Products/PLC-Serie/plcd22005-cpc-stecker-7-9-mm-schlauchanschluss-mit-absperrventil-buna-n-dichtung-number=2000000288930" xr:uid="{B89BBB6F-0CEB-4A90-9113-49FC729FCADC}"/>
    <hyperlink ref="E75" r:id="rId35" display="https://shop.watercool.de/WCP-D5-PWM" xr:uid="{7F6D3A91-EBEB-4D35-B76A-B1F8A75E9089}"/>
    <hyperlink ref="E76" r:id="rId36" display="https://shop.watercool.de/HEATKILLER-D5-TOP" xr:uid="{479F7AFD-6148-4BE6-8670-059531ED0FFA}"/>
    <hyperlink ref="E77" r:id="rId37" display="https://shop.watercool.de/HEATKILLER-Tube-200" xr:uid="{9DF1BB78-4F24-4B74-88C4-D6B06282BFD7}"/>
    <hyperlink ref="E37" r:id="rId38" display="https://www.digikey.de/en/products/detail/te-connectivity-passive-product/SQMBW102R2J/22238109" xr:uid="{0B48D5A5-D150-4CE1-8B9A-264D0F960AA7}"/>
    <hyperlink ref="E11" r:id="rId39" display="https://www.digikey.de/en/products/detail/murata-electronics/GRM32EC72A106KE05L/7319245?" xr:uid="{C4F2C912-B5D9-4A5B-9CAF-7CD30E0EEB76}"/>
    <hyperlink ref="E12" r:id="rId40" display="https://www.digikey.de/en/products/detail/w%C3%BCrth-elektronik/744309033/2625945" xr:uid="{195BFDD7-ADDD-4C0F-87B0-A67D046E1645}"/>
    <hyperlink ref="E13" r:id="rId41" display="https://www.digikey.de/en/products/detail/vishay-dale/WSL2512R2500FEA/712577" xr:uid="{628BB864-E343-4FC3-944C-A6519074C986}"/>
    <hyperlink ref="E14" r:id="rId42" display="https://www.digikey.de/en/products/detail/chemi-con/EKY-500ELL272MM40S/756140" xr:uid="{11821405-15E9-4849-9463-DBE8A21AB914}"/>
    <hyperlink ref="E15" r:id="rId43" display="https://www.digikey.de/en/products/detail/koa-speer-electronics-inc/RK73B2BTTE1R0J/11476554" xr:uid="{CE633655-518F-4DF3-9F6F-0F372E8032D9}"/>
    <hyperlink ref="E38" r:id="rId44" display="https://www.digikey.de/en/products/detail/epcos-tdk-electronics/B43541B2108M000/6160840" xr:uid="{7B6A05A1-A680-41CA-B9C6-17560C648BC1}"/>
    <hyperlink ref="E10" r:id="rId45" display="https://www.mouser.de/ProductDetail/TRACO-Power/THD-10-2422N?qs=MJt07Qdd3dJZqvby6hry%252Bw%3D%3D" xr:uid="{26DFB340-9F3E-4B0E-BD23-485F5CCB48AD}"/>
    <hyperlink ref="E17" r:id="rId46" display="https://www.digikey.de/en/products/detail/kyocera-avx/12065C475K4T4A/11243555?" xr:uid="{F423E84C-F98C-4F40-8B19-C68B86742710}"/>
    <hyperlink ref="E18" r:id="rId47" display="https://www.digikey.de/en/products/detail/traco-power/TCK-048/9382111?" xr:uid="{76A246A4-E974-40D1-82DA-7367541D4D0D}"/>
    <hyperlink ref="E19" r:id="rId48" display="https://www.digikey.de/en/products/detail/johanson-dielectrics-inc/VPDD202W102K1GV001E/1556359" xr:uid="{EEB76743-0CC4-4BE9-B3E9-E11450DAE8AF}"/>
    <hyperlink ref="E20" r:id="rId49" display="https://www.digikey.de/en/products/detail/epcos-tdk-electronics/B41888C7108M000/3544416" xr:uid="{3D8FEE66-F948-403B-B61F-92563606E800}"/>
    <hyperlink ref="E9" r:id="rId50" display="https://www.digikey.de/en/products/detail/traco-power/ten-40-2412wi/9383212" xr:uid="{A7A6C410-C780-40A7-BB78-27C7C34155C2}"/>
    <hyperlink ref="E21" r:id="rId51" display="https://www.digikey.de/en/products/detail/w%C3%BCrth-elektronik/860240575007/5727552?" xr:uid="{C3DE10CD-1B37-4944-B969-BA8E1D8050FA}"/>
    <hyperlink ref="E22" r:id="rId52" display="https://www.digikey.de/en/products/detail/kemet/C1206C152KGRACAUTO/8109863" xr:uid="{8D6742BC-FE3E-4E34-9222-590378F740B7}"/>
    <hyperlink ref="E23" r:id="rId53" display="https://www.digikey.de/en/products/detail/phoenix-contact/1935161/568614" xr:uid="{9356CE5F-FDBC-46A1-9D78-8BC726A30E0F}"/>
    <hyperlink ref="E24" r:id="rId54" display="https://www.digikey.de/en/products/detail/phoenix-contact/1935174/568615" xr:uid="{43E8723F-1F17-4A60-8DB6-56E2DEF393E4}"/>
    <hyperlink ref="E25" r:id="rId55" display="https://www.digikey.de/en/products/detail/phoenix-contact/1935190/568617" xr:uid="{7ACB0E29-9087-4594-B131-F0C42AA203B0}"/>
    <hyperlink ref="E39" r:id="rId56" display="https://www.digikey.de/en/products/detail/vishay-beyschlag-draloric-bc-components/M251206BB5108JP500/3455995" xr:uid="{C6A0E3BE-1640-4596-83E6-065069D17C34}"/>
    <hyperlink ref="E40" r:id="rId57" display="https://www.digikey.de/en/products/detail/jst-sales-america-inc/B2B-PH-K-S/926611" xr:uid="{795B1D88-7457-4F7A-BC54-E03C5C55D57E}"/>
    <hyperlink ref="E78" r:id="rId58" display="https://www.digikey.de/en/products/detail/molex/0470531000/2421261?" xr:uid="{2D7103FF-5327-433C-9DBC-EC435093B89E}"/>
    <hyperlink ref="E44" r:id="rId59" display="https://www.digikey.de/en/products/detail/honeywell-sensing-and-productivity-solutions/CSNT651/3540822" xr:uid="{56419D03-8C8F-44B7-B469-F2A059F6BE88}"/>
    <hyperlink ref="E95" r:id="rId60" display="https://www.digikey.de/en/products/detail/jst-sales-america-inc/B4B-PH-K/768444" xr:uid="{BC66ABFF-3408-47BF-856B-C08C99A37436}"/>
    <hyperlink ref="E45" r:id="rId61" display="https://www.digikey.de/en/products/detail/jst-sales-america-inc/B5B-PH-K-S/926614" xr:uid="{AF6B127D-5CEC-45E7-BBD6-426849827216}"/>
    <hyperlink ref="E59" r:id="rId62" display="https://www.digikey.de/en/products/detail/infineon-technologies/IRLZ44NPBF/811808" xr:uid="{44531BF2-D00E-41F5-96A7-8E8AFA7710DA}"/>
    <hyperlink ref="E89" r:id="rId63" display="https://www.digikey.de/en/products/detail/analog-devices-inc-maxim-integrated/MAX11105AUT-T/10459540" xr:uid="{49D437B3-3EF2-4956-B7A5-1B2E0166C7D1}"/>
    <hyperlink ref="E16" r:id="rId64" display="https://www.digikey.de/en/products/detail/epcos-tdk-electronics/B43541B2108M000/6160840" xr:uid="{43BFFE0D-7987-4D80-8FA6-AAE56A70DFE2}"/>
    <hyperlink ref="E41" r:id="rId65" xr:uid="{B748293F-2809-4DD0-9473-2D1B8C1DC84D}"/>
    <hyperlink ref="E46" r:id="rId66" xr:uid="{0475FB94-4DDB-46E2-84E8-F4104578FDE3}"/>
    <hyperlink ref="E47" r:id="rId67" xr:uid="{6EC26E90-735E-4A92-A869-63F0AD2D804C}"/>
    <hyperlink ref="E48" r:id="rId68" xr:uid="{AF9F2ABE-B454-4197-920E-A26B2D23399A}"/>
    <hyperlink ref="E49" r:id="rId69" xr:uid="{4D11C7A4-E635-48C9-8FBD-0E84B1A2C645}"/>
    <hyperlink ref="E58" r:id="rId70" xr:uid="{26296924-508E-4470-BC2C-553C5E889DDF}"/>
    <hyperlink ref="E60" r:id="rId71" xr:uid="{57CCD7FF-937C-4585-9548-82DCE2CDA67B}"/>
    <hyperlink ref="E88" r:id="rId72" xr:uid="{66EF68B9-2DCF-46CB-A964-C47BA64263EF}"/>
    <hyperlink ref="E90" r:id="rId73" xr:uid="{D162DEE0-D554-412A-8B40-E9741B002CBB}"/>
  </hyperlinks>
  <pageMargins left="0.7" right="0.7" top="0.75" bottom="0.75" header="0.3" footer="0.3"/>
  <pageSetup orientation="portrait" horizontalDpi="300" verticalDpi="300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Nasr, Khaled</dc:creator>
  <cp:lastModifiedBy>Nasr, Khaled</cp:lastModifiedBy>
  <dcterms:created xsi:type="dcterms:W3CDTF">2025-03-25T10:11:08Z</dcterms:created>
  <dcterms:modified xsi:type="dcterms:W3CDTF">2025-03-31T09:47:22Z</dcterms:modified>
</cp:coreProperties>
</file>